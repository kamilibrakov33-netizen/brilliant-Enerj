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пущения" sheetId="1" state="visible" r:id="rId1"/>
    <sheet name="Юнит-экономика" sheetId="2" state="visible" r:id="rId2"/>
    <sheet name="100 клиентов" sheetId="3" state="visible" r:id="rId3"/>
    <sheet name="Схема налогов и выплат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 &quot;₽&quot;"/>
    <numFmt numFmtId="165" formatCode="0.0%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000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3" fillId="3" borderId="1" pivotButton="0" quotePrefix="0" xfId="0"/>
    <xf numFmtId="0" fontId="0" fillId="0" borderId="1" applyAlignment="1" pivotButton="0" quotePrefix="0" xfId="0">
      <alignment wrapText="1"/>
    </xf>
    <xf numFmtId="9" fontId="3" fillId="3" borderId="1" pivotButton="0" quotePrefix="0" xfId="0"/>
    <xf numFmtId="165" fontId="3" fillId="3" borderId="1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164" fontId="0" fillId="0" borderId="1" pivotButton="0" quotePrefix="0" xfId="0"/>
    <xf numFmtId="164" fontId="4" fillId="4" borderId="1" pivotButton="0" quotePrefix="0" xfId="0"/>
    <xf numFmtId="9" fontId="0" fillId="0" borderId="1" pivotButton="0" quotePrefix="0" xfId="0"/>
    <xf numFmtId="0" fontId="4" fillId="4" borderId="1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70" customWidth="1" min="5" max="5"/>
  </cols>
  <sheetData>
    <row r="1">
      <c r="A1" s="1" t="inlineStr">
        <is>
          <t>Допущения (жёлтые ячейки можно менять — всё считается само)</t>
        </is>
      </c>
    </row>
    <row r="3">
      <c r="A3" s="2" t="inlineStr">
        <is>
          <t>Параметр</t>
        </is>
      </c>
      <c r="B3" s="2" t="inlineStr">
        <is>
          <t>Старт</t>
        </is>
      </c>
      <c r="C3" s="2" t="inlineStr">
        <is>
          <t>Мастер</t>
        </is>
      </c>
      <c r="D3" s="2" t="inlineStr">
        <is>
          <t>Практик</t>
        </is>
      </c>
      <c r="E3" s="2" t="inlineStr">
        <is>
          <t>Комментарий</t>
        </is>
      </c>
    </row>
    <row r="4">
      <c r="A4" s="3" t="inlineStr">
        <is>
          <t>Цена, ₽</t>
        </is>
      </c>
      <c r="B4" s="4" t="n">
        <v>990</v>
      </c>
      <c r="C4" s="4" t="n">
        <v>4900</v>
      </c>
      <c r="D4" s="4" t="n">
        <v>14900</v>
      </c>
      <c r="E4" s="5" t="inlineStr">
        <is>
          <t>Цены в коде сайта после изменения</t>
        </is>
      </c>
    </row>
    <row r="5">
      <c r="A5" s="3" t="inlineStr">
        <is>
          <t>Комиссия представителю, % от оплаты</t>
        </is>
      </c>
      <c r="B5" s="6" t="n">
        <v>0</v>
      </c>
      <c r="C5" s="6" t="n">
        <v>0.15</v>
      </c>
      <c r="D5" s="6" t="n">
        <v>0.15</v>
      </c>
      <c r="E5" s="5" t="inlineStr">
        <is>
          <t>Старт — воронка, процент не платим</t>
        </is>
      </c>
    </row>
    <row r="6">
      <c r="A6" s="3" t="inlineStr">
        <is>
          <t>Фикс представителю за продажу, ₽</t>
        </is>
      </c>
      <c r="B6" s="4" t="n">
        <v>100</v>
      </c>
      <c r="C6" s="4" t="n">
        <v>0</v>
      </c>
      <c r="D6" s="4" t="n">
        <v>0</v>
      </c>
      <c r="E6" s="5" t="inlineStr">
        <is>
          <t>Старт: символические 100 ₽ за привлечённого ученика</t>
        </is>
      </c>
    </row>
    <row r="7">
      <c r="A7" s="3" t="inlineStr">
        <is>
          <t>Фикс представителю за проведённую практику, ₽</t>
        </is>
      </c>
      <c r="B7" s="4" t="n">
        <v>0</v>
      </c>
      <c r="C7" s="4" t="n">
        <v>0</v>
      </c>
      <c r="D7" s="4" t="n">
        <v>2500</v>
      </c>
      <c r="E7" s="5" t="inlineStr">
        <is>
          <t>Выезд на объект, спецодежда, время наставника</t>
        </is>
      </c>
    </row>
    <row r="8">
      <c r="A8" s="3" t="inlineStr">
        <is>
          <t>Себестоимость и поддержка на ученика, ₽</t>
        </is>
      </c>
      <c r="B8" s="4" t="n">
        <v>50</v>
      </c>
      <c r="C8" s="4" t="n">
        <v>350</v>
      </c>
      <c r="D8" s="4" t="n">
        <v>1300</v>
      </c>
      <c r="E8" s="5" t="inlineStr">
        <is>
          <t>Старт: бот и поддержка; Мастер: проверка 14 фотоотчётов; Практик: + консультация автора 60 мин и расходные материалы</t>
        </is>
      </c>
    </row>
    <row r="9">
      <c r="A9" s="3" t="inlineStr">
        <is>
          <t>Стоимость привлечения через платную рекламу (CAC), ₽</t>
        </is>
      </c>
      <c r="B9" s="4" t="n">
        <v>400</v>
      </c>
      <c r="C9" s="4" t="n">
        <v>700</v>
      </c>
      <c r="D9" s="4" t="n">
        <v>2500</v>
      </c>
      <c r="E9" s="5" t="inlineStr">
        <is>
          <t>ПРОВЕРИТЬ на тестовой рекламе: пока оценка</t>
        </is>
      </c>
    </row>
    <row r="10">
      <c r="A10" s="3" t="inlineStr">
        <is>
          <t>Доля тарифа среди клиентов, %</t>
        </is>
      </c>
      <c r="B10" s="6" t="n">
        <v>0.6</v>
      </c>
      <c r="C10" s="6" t="n">
        <v>0.3</v>
      </c>
      <c r="D10" s="6" t="n">
        <v>0.1</v>
      </c>
      <c r="E10" s="5" t="inlineStr">
        <is>
          <t>Итоговый микс 100 клиентов с учётом доплат с «Старта»</t>
        </is>
      </c>
    </row>
    <row r="12">
      <c r="A12" s="2" t="inlineStr">
        <is>
          <t>Общие ставки</t>
        </is>
      </c>
      <c r="B12" s="2" t="inlineStr">
        <is>
          <t>Значение</t>
        </is>
      </c>
      <c r="C12" s="2" t="inlineStr"/>
      <c r="D12" s="2" t="inlineStr"/>
      <c r="E12" s="2" t="inlineStr">
        <is>
          <t>Комментарий</t>
        </is>
      </c>
    </row>
    <row r="13">
      <c r="A13" s="3" t="inlineStr">
        <is>
          <t>Комиссия ЮKassa, %</t>
        </is>
      </c>
      <c r="B13" s="7" t="n">
        <v>0.035</v>
      </c>
      <c r="E13" s="8" t="inlineStr">
        <is>
          <t>Зависит от оборота и способа оплаты: у вас по договору, обычно 2,8–3,8%</t>
        </is>
      </c>
    </row>
    <row r="14">
      <c r="A14" s="3" t="inlineStr">
        <is>
          <t>Налог УСН «Доходы», %</t>
        </is>
      </c>
      <c r="B14" s="7" t="n">
        <v>0.06</v>
      </c>
      <c r="E14" s="8" t="inlineStr">
        <is>
          <t>ДОПУЩЕНИЕ: ИП на УСН 6% с выручки. Если у вас НПД или другой режим — поменять</t>
        </is>
      </c>
    </row>
    <row r="15">
      <c r="A15" s="3" t="inlineStr">
        <is>
          <t>Фонд рекламы и развития, % от выручки</t>
        </is>
      </c>
      <c r="B15" s="7" t="n">
        <v>0.2</v>
      </c>
      <c r="E15" s="8" t="inlineStr">
        <is>
          <t>Резерв на рекламу, контент, развитие</t>
        </is>
      </c>
    </row>
    <row r="16">
      <c r="A16" s="3" t="inlineStr">
        <is>
          <t>Рекламный сбор 3% и ОРД</t>
        </is>
      </c>
      <c r="B16" s="7" t="n">
        <v>0</v>
      </c>
      <c r="E16" s="8" t="inlineStr">
        <is>
          <t>Платит получатель рекламных денег (блогер/представитель), вы только передаёте данные в ОРД; свои расходы на ОРД вписать при необходимости</t>
        </is>
      </c>
    </row>
    <row r="18">
      <c r="A18" t="inlineStr">
        <is>
          <t>Страховые взносы ИП за себя (≈57 тыс. ₽/год + 1% с дохода свыше 300 тыс. ₽) в таблице не учтены — проверить актуальную сумму.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Что остаётся с одной продажи (на 1 клиента)</t>
        </is>
      </c>
    </row>
    <row r="3">
      <c r="A3" s="9" t="inlineStr">
        <is>
          <t>Канал 1: продажа через регионального представителя (реклама не оплачивается, платим комиссию)</t>
        </is>
      </c>
    </row>
    <row r="4">
      <c r="A4" s="2" t="inlineStr">
        <is>
          <t>Статья</t>
        </is>
      </c>
      <c r="B4" s="2" t="inlineStr">
        <is>
          <t>Старт</t>
        </is>
      </c>
      <c r="C4" s="2" t="inlineStr">
        <is>
          <t>Мастер</t>
        </is>
      </c>
      <c r="D4" s="2" t="inlineStr">
        <is>
          <t>Практик</t>
        </is>
      </c>
    </row>
    <row r="5">
      <c r="A5" s="3" t="inlineStr">
        <is>
          <t>Цена</t>
        </is>
      </c>
      <c r="B5" s="10">
        <f>Допущения!B4</f>
        <v/>
      </c>
      <c r="C5" s="10">
        <f>Допущения!C4</f>
        <v/>
      </c>
      <c r="D5" s="10">
        <f>Допущения!D4</f>
        <v/>
      </c>
    </row>
    <row r="6">
      <c r="A6" s="3" t="inlineStr">
        <is>
          <t>− Комиссия ЮKassa</t>
        </is>
      </c>
      <c r="B6" s="10">
        <f>Допущения!B4*Допущения!$B$13</f>
        <v/>
      </c>
      <c r="C6" s="10">
        <f>Допущения!C4*Допущения!$B$13</f>
        <v/>
      </c>
      <c r="D6" s="10">
        <f>Допущения!D4*Допущения!$B$13</f>
        <v/>
      </c>
    </row>
    <row r="7">
      <c r="A7" s="3" t="inlineStr">
        <is>
          <t>− Налог УСН 6%</t>
        </is>
      </c>
      <c r="B7" s="10">
        <f>Допущения!B4*Допущения!$B$14</f>
        <v/>
      </c>
      <c r="C7" s="10">
        <f>Допущения!C4*Допущения!$B$14</f>
        <v/>
      </c>
      <c r="D7" s="10">
        <f>Допущения!D4*Допущения!$B$14</f>
        <v/>
      </c>
    </row>
    <row r="8">
      <c r="A8" s="3" t="inlineStr">
        <is>
          <t>− Комиссия представителю</t>
        </is>
      </c>
      <c r="B8" s="10">
        <f>Допущения!B4*Допущения!B5+Допущения!B6</f>
        <v/>
      </c>
      <c r="C8" s="10">
        <f>Допущения!C4*Допущения!C5+Допущения!C6</f>
        <v/>
      </c>
      <c r="D8" s="10">
        <f>Допущения!D4*Допущения!D5+Допущения!D6</f>
        <v/>
      </c>
    </row>
    <row r="9">
      <c r="A9" s="3" t="inlineStr">
        <is>
          <t>− Фикс за практику</t>
        </is>
      </c>
      <c r="B9" s="10">
        <f>Допущения!B7</f>
        <v/>
      </c>
      <c r="C9" s="10">
        <f>Допущения!C7</f>
        <v/>
      </c>
      <c r="D9" s="10">
        <f>Допущения!D7</f>
        <v/>
      </c>
    </row>
    <row r="10">
      <c r="A10" s="3" t="inlineStr">
        <is>
          <t>− Реклама (CAC)</t>
        </is>
      </c>
      <c r="B10" s="10" t="n">
        <v>0</v>
      </c>
      <c r="C10" s="10" t="n">
        <v>0</v>
      </c>
      <c r="D10" s="10" t="n">
        <v>0</v>
      </c>
    </row>
    <row r="11">
      <c r="A11" s="3" t="inlineStr">
        <is>
          <t>− Себестоимость и поддержка</t>
        </is>
      </c>
      <c r="B11" s="10">
        <f>Допущения!B8</f>
        <v/>
      </c>
      <c r="C11" s="10">
        <f>Допущения!C8</f>
        <v/>
      </c>
      <c r="D11" s="10">
        <f>Допущения!D8</f>
        <v/>
      </c>
    </row>
    <row r="12">
      <c r="A12" s="3" t="inlineStr">
        <is>
          <t>ОСТАЁТСЯ с продажи, ₽</t>
        </is>
      </c>
      <c r="B12" s="11">
        <f>B5-SUM(B6:B11)</f>
        <v/>
      </c>
      <c r="C12" s="11">
        <f>C5-SUM(C6:C11)</f>
        <v/>
      </c>
      <c r="D12" s="11">
        <f>D5-SUM(D6:D11)</f>
        <v/>
      </c>
    </row>
    <row r="13">
      <c r="A13" s="3" t="inlineStr">
        <is>
          <t>Маржа, %</t>
        </is>
      </c>
      <c r="B13" s="12">
        <f>B12/B5</f>
        <v/>
      </c>
      <c r="C13" s="12">
        <f>C12/C5</f>
        <v/>
      </c>
      <c r="D13" s="12">
        <f>D12/D5</f>
        <v/>
      </c>
    </row>
    <row r="15">
      <c r="A15" s="9" t="inlineStr">
        <is>
          <t>Канал 2: платная реклама (без представителя; практику всё равно проводит наставник)</t>
        </is>
      </c>
    </row>
    <row r="16">
      <c r="A16" s="2" t="inlineStr">
        <is>
          <t>Статья</t>
        </is>
      </c>
      <c r="B16" s="2" t="inlineStr">
        <is>
          <t>Старт</t>
        </is>
      </c>
      <c r="C16" s="2" t="inlineStr">
        <is>
          <t>Мастер</t>
        </is>
      </c>
      <c r="D16" s="2" t="inlineStr">
        <is>
          <t>Практик</t>
        </is>
      </c>
    </row>
    <row r="17">
      <c r="A17" s="3" t="inlineStr">
        <is>
          <t>Цена</t>
        </is>
      </c>
      <c r="B17" s="10">
        <f>Допущения!B4</f>
        <v/>
      </c>
      <c r="C17" s="10">
        <f>Допущения!C4</f>
        <v/>
      </c>
      <c r="D17" s="10">
        <f>Допущения!D4</f>
        <v/>
      </c>
    </row>
    <row r="18">
      <c r="A18" s="3" t="inlineStr">
        <is>
          <t>− Комиссия ЮKassa</t>
        </is>
      </c>
      <c r="B18" s="10">
        <f>Допущения!B4*Допущения!$B$13</f>
        <v/>
      </c>
      <c r="C18" s="10">
        <f>Допущения!C4*Допущения!$B$13</f>
        <v/>
      </c>
      <c r="D18" s="10">
        <f>Допущения!D4*Допущения!$B$13</f>
        <v/>
      </c>
    </row>
    <row r="19">
      <c r="A19" s="3" t="inlineStr">
        <is>
          <t>− Налог УСН 6%</t>
        </is>
      </c>
      <c r="B19" s="10">
        <f>Допущения!B4*Допущения!$B$14</f>
        <v/>
      </c>
      <c r="C19" s="10">
        <f>Допущения!C4*Допущения!$B$14</f>
        <v/>
      </c>
      <c r="D19" s="10">
        <f>Допущения!D4*Допущения!$B$14</f>
        <v/>
      </c>
    </row>
    <row r="20">
      <c r="A20" s="3" t="inlineStr">
        <is>
          <t>− Комиссия представителю</t>
        </is>
      </c>
      <c r="B20" s="10" t="n">
        <v>0</v>
      </c>
      <c r="C20" s="10" t="n">
        <v>0</v>
      </c>
      <c r="D20" s="10" t="n">
        <v>0</v>
      </c>
    </row>
    <row r="21">
      <c r="A21" s="3" t="inlineStr">
        <is>
          <t>− Фикс за практику</t>
        </is>
      </c>
      <c r="B21" s="10" t="n">
        <v>0</v>
      </c>
      <c r="C21" s="10" t="n">
        <v>0</v>
      </c>
      <c r="D21" s="10">
        <f>Допущения!D7</f>
        <v/>
      </c>
    </row>
    <row r="22">
      <c r="A22" s="3" t="inlineStr">
        <is>
          <t>− Реклама (CAC)</t>
        </is>
      </c>
      <c r="B22" s="10">
        <f>Допущения!B9</f>
        <v/>
      </c>
      <c r="C22" s="10">
        <f>Допущения!C9</f>
        <v/>
      </c>
      <c r="D22" s="10">
        <f>Допущения!D9</f>
        <v/>
      </c>
    </row>
    <row r="23">
      <c r="A23" s="3" t="inlineStr">
        <is>
          <t>− Себестоимость и поддержка</t>
        </is>
      </c>
      <c r="B23" s="10">
        <f>Допущения!B8</f>
        <v/>
      </c>
      <c r="C23" s="10">
        <f>Допущения!C8</f>
        <v/>
      </c>
      <c r="D23" s="10">
        <f>Допущения!D8</f>
        <v/>
      </c>
    </row>
    <row r="24">
      <c r="A24" s="3" t="inlineStr">
        <is>
          <t>ОСТАЁТСЯ с продажи, ₽</t>
        </is>
      </c>
      <c r="B24" s="11">
        <f>B17-SUM(B18:B23)</f>
        <v/>
      </c>
      <c r="C24" s="11">
        <f>C17-SUM(C18:C23)</f>
        <v/>
      </c>
      <c r="D24" s="11">
        <f>D17-SUM(D18:D23)</f>
        <v/>
      </c>
    </row>
    <row r="25">
      <c r="A25" s="3" t="inlineStr">
        <is>
          <t>Маржа, %</t>
        </is>
      </c>
      <c r="B25" s="12">
        <f>B24/B17</f>
        <v/>
      </c>
      <c r="C25" s="12">
        <f>C24/C17</f>
        <v/>
      </c>
      <c r="D25" s="12">
        <f>D24/D17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Итог на 100 клиентов (через представителей) — выручка, налоги, прибыль</t>
        </is>
      </c>
    </row>
    <row r="3">
      <c r="A3" s="2" t="inlineStr">
        <is>
          <t>Статья</t>
        </is>
      </c>
      <c r="B3" s="2" t="inlineStr">
        <is>
          <t>Старт</t>
        </is>
      </c>
      <c r="C3" s="2" t="inlineStr">
        <is>
          <t>Мастер</t>
        </is>
      </c>
      <c r="D3" s="2" t="inlineStr">
        <is>
          <t>Практик</t>
        </is>
      </c>
      <c r="E3" s="2" t="inlineStr">
        <is>
          <t>ИТОГО</t>
        </is>
      </c>
    </row>
    <row r="4">
      <c r="A4" s="3" t="inlineStr">
        <is>
          <t>Клиентов</t>
        </is>
      </c>
      <c r="B4" s="3">
        <f>100*Допущения!B10</f>
        <v/>
      </c>
      <c r="C4" s="3">
        <f>100*Допущения!C10</f>
        <v/>
      </c>
      <c r="D4" s="3">
        <f>100*Допущения!D10</f>
        <v/>
      </c>
      <c r="E4" s="3">
        <f>SUM(B4:D4)</f>
        <v/>
      </c>
    </row>
    <row r="5">
      <c r="A5" s="3" t="inlineStr">
        <is>
          <t>Выручка</t>
        </is>
      </c>
      <c r="B5" s="10">
        <f>B4*'Юнит-экономика'!B5</f>
        <v/>
      </c>
      <c r="C5" s="10">
        <f>C4*'Юнит-экономика'!C5</f>
        <v/>
      </c>
      <c r="D5" s="10">
        <f>D4*'Юнит-экономика'!D5</f>
        <v/>
      </c>
      <c r="E5" s="10">
        <f>SUM(B5:D5)</f>
        <v/>
      </c>
    </row>
    <row r="6">
      <c r="A6" s="3" t="inlineStr">
        <is>
          <t>Остаётся после ЮKassa, налога, комиссий и поддержки</t>
        </is>
      </c>
      <c r="B6" s="10">
        <f>B4*'Юнит-экономика'!B10</f>
        <v/>
      </c>
      <c r="C6" s="10">
        <f>C4*'Юнит-экономика'!C10</f>
        <v/>
      </c>
      <c r="D6" s="10">
        <f>D4*'Юнит-экономика'!D10</f>
        <v/>
      </c>
      <c r="E6" s="10">
        <f>SUM(B6:D6)</f>
        <v/>
      </c>
    </row>
    <row r="7">
      <c r="A7" s="3" t="inlineStr">
        <is>
          <t>Из них налог УСН</t>
        </is>
      </c>
      <c r="B7" s="10">
        <f>B4*'Юнит-экономика'!B7</f>
        <v/>
      </c>
      <c r="C7" s="10">
        <f>C4*'Юнит-экономика'!C7</f>
        <v/>
      </c>
      <c r="D7" s="10">
        <f>D4*'Юнит-экономика'!D7</f>
        <v/>
      </c>
      <c r="E7" s="10">
        <f>SUM(B7:D7)</f>
        <v/>
      </c>
    </row>
    <row r="8">
      <c r="A8" s="3" t="inlineStr">
        <is>
          <t>Из них комиссия ЮKassa</t>
        </is>
      </c>
      <c r="B8" s="10">
        <f>B4*'Юнит-экономика'!B6</f>
        <v/>
      </c>
      <c r="C8" s="10">
        <f>C4*'Юнит-экономика'!C6</f>
        <v/>
      </c>
      <c r="D8" s="10">
        <f>D4*'Юнит-экономика'!D6</f>
        <v/>
      </c>
      <c r="E8" s="10">
        <f>SUM(B8:D8)</f>
        <v/>
      </c>
    </row>
    <row r="9">
      <c r="A9" s="3" t="inlineStr">
        <is>
          <t>Из них выплаты представителям</t>
        </is>
      </c>
      <c r="B9" s="10">
        <f>B4*('Юнит-экономика'!B8+'Юнит-экономика'!B9)</f>
        <v/>
      </c>
      <c r="C9" s="10">
        <f>C4*('Юнит-экономика'!C8+'Юнит-экономика'!C9)</f>
        <v/>
      </c>
      <c r="D9" s="10">
        <f>D4*('Юнит-экономика'!D8+'Юнит-экономика'!D9)</f>
        <v/>
      </c>
      <c r="E9" s="10">
        <f>SUM(B9:D9)</f>
        <v/>
      </c>
    </row>
    <row r="10">
      <c r="A10" s="3" t="inlineStr">
        <is>
          <t>Фонд рекламы и развития (20% выручки)</t>
        </is>
      </c>
      <c r="B10" s="10">
        <f>B5*Допущения!$B$15</f>
        <v/>
      </c>
      <c r="C10" s="10">
        <f>C5*Допущения!$B$15</f>
        <v/>
      </c>
      <c r="D10" s="10">
        <f>D5*Допущения!$B$15</f>
        <v/>
      </c>
      <c r="E10" s="10">
        <f>SUM(B10:D10)</f>
        <v/>
      </c>
    </row>
    <row r="11">
      <c r="A11" s="13" t="inlineStr">
        <is>
          <t>Чистая прибыль до взносов ИП</t>
        </is>
      </c>
      <c r="B11" s="11">
        <f>B6-B10</f>
        <v/>
      </c>
      <c r="C11" s="11">
        <f>C6-C10</f>
        <v/>
      </c>
      <c r="D11" s="11">
        <f>D6-D10</f>
        <v/>
      </c>
      <c r="E11" s="11">
        <f>SUM(B11:D11)</f>
        <v/>
      </c>
    </row>
    <row r="12">
      <c r="A12" s="3" t="inlineStr">
        <is>
          <t>Чистая прибыль, % выручки</t>
        </is>
      </c>
      <c r="B12" s="12">
        <f>B11/B5</f>
        <v/>
      </c>
      <c r="C12" s="12">
        <f>C11/C5</f>
        <v/>
      </c>
      <c r="D12" s="12">
        <f>D11/D5</f>
        <v/>
      </c>
      <c r="E12" s="12">
        <f>E11/E5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4" t="inlineStr">
        <is>
          <t>Куда уходят деньги с каждой оплаты</t>
        </is>
      </c>
    </row>
    <row r="2">
      <c r="A2" s="15" t="inlineStr">
        <is>
          <t>1. Клиент платит на сайте → ЮKassa берёт комиссию эквайринга (≈3,5%) и переводит остаток на счёт ИП.</t>
        </is>
      </c>
    </row>
    <row r="3">
      <c r="A3" s="15" t="inlineStr">
        <is>
          <t>2. ИП платит налог УСН 6% со ВСЕЙ суммы оплаты (комиссия представителю налоговую базу не уменьшает на УСН «Доходы»).</t>
        </is>
      </c>
    </row>
    <row r="4">
      <c r="A4" s="15" t="inlineStr">
        <is>
          <t>3. Представителю выплачивается комиссия (% с продажи) и фикс за проведённую практику.</t>
        </is>
      </c>
    </row>
    <row r="5">
      <c r="A5" s="15" t="inlineStr">
        <is>
          <t xml:space="preserve">   • Оформление: договор + самозанятый (НПД) или ИП, чек «Мой налог» на каждую выплату. Налог с выплаты платит сам представитель.</t>
        </is>
      </c>
    </row>
    <row r="6">
      <c r="A6" s="15" t="inlineStr">
        <is>
          <t xml:space="preserve">   • Реферальные ссылки/промокоды — это реклама: нужен токен erid (ОРД), договор с представителем и передача данных по креативам.</t>
        </is>
      </c>
    </row>
    <row r="7">
      <c r="A7" s="15" t="inlineStr">
        <is>
          <t xml:space="preserve">   • Рекламный сбор 3% платит получатель рекламного дохода (блогер/представитель), а не вы — уточнить у бухгалтера порог и порядок.</t>
        </is>
      </c>
    </row>
    <row r="8">
      <c r="A8" s="15" t="inlineStr">
        <is>
          <t>4. Фонд рекламы и развития — 20% выручки откладывается отдельно (реклама, контент, видео, кураторы).</t>
        </is>
      </c>
    </row>
    <row r="9">
      <c r="A9" s="15" t="inlineStr">
        <is>
          <t>5. Что осталось — чистая прибыль до страховых взносов ИП (фиксированные взносы за себя + 1% с дохода свыше 300 тыс. ₽ в год).</t>
        </is>
      </c>
    </row>
    <row r="10">
      <c r="A10" s="15" t="inlineStr"/>
    </row>
    <row r="11">
      <c r="A11" s="14" t="inlineStr">
        <is>
          <t>Воронка тарифов</t>
        </is>
      </c>
    </row>
    <row r="12">
      <c r="A12" s="15" t="inlineStr">
        <is>
          <t>Старт 990 ₽ — вход и проверка интереса (почти без комиссии представителю).</t>
        </is>
      </c>
    </row>
    <row r="13">
      <c r="A13" s="15" t="inlineStr">
        <is>
          <t>Доплата со «Старта»: до «Мастера» 3 910 ₽, до «Практика» 13 910 ₽ (с «Мастера» на «Практик» — 10 000 ₽).</t>
        </is>
      </c>
    </row>
    <row r="14">
      <c r="A14" s="15" t="inlineStr">
        <is>
          <t>Мастер 4 900 ₽ — главный тариф, основная прибыль на объёме.</t>
        </is>
      </c>
    </row>
    <row r="15">
      <c r="A15" s="15" t="inlineStr">
        <is>
          <t>Практик 14 900 ₽ — премиум: практика с наставником, в цене закладывается оплата выезда.</t>
        </is>
      </c>
    </row>
    <row r="16">
      <c r="A16" s="15" t="inlineStr"/>
    </row>
    <row r="17">
      <c r="A17" s="15" t="inlineStr">
        <is>
          <t>Важно: всё выше — модель на допущениях. Реальный CAC, микс тарифов и режим налогообложения нужно подставить после первых продаж и проверить у бухгалтера.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2026-10-01T07:42:22Z</dcterms:created>
  <dcterms:modified xsi:type="dcterms:W3CDTF">2026-10-01T07:42:22Z</dcterms:modified>
</cp:coreProperties>
</file>